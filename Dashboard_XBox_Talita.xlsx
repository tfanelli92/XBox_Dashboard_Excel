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lita\Downloads\"/>
    </mc:Choice>
  </mc:AlternateContent>
  <xr:revisionPtr revIDLastSave="0" documentId="13_ncr:1_{ECEE8743-9191-414B-9179-691F807CF764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3" i="3"/>
</calcChain>
</file>

<file path=xl/sharedStrings.xml><?xml version="1.0" encoding="utf-8"?>
<sst xmlns="http://schemas.openxmlformats.org/spreadsheetml/2006/main" count="2032" uniqueCount="332">
  <si>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</si>
  <si>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</si>
  <si>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</si>
  <si>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</si>
  <si>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</si>
  <si>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</si>
  <si>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</si>
  <si>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</si>
  <si>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</si>
  <si>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</si>
  <si>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</si>
  <si>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</si>
  <si>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</si>
  <si>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</si>
  <si>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</si>
  <si>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</si>
  <si>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</si>
  <si>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</si>
  <si>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</si>
  <si>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</si>
  <si>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</si>
  <si>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</si>
  <si>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</si>
  <si>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</si>
  <si>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</si>
  <si>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</si>
  <si>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</si>
  <si>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</si>
  <si>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</si>
  <si>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</si>
  <si>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</si>
  <si>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</si>
  <si>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</si>
  <si>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</si>
  <si>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</si>
  <si>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</si>
  <si>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</si>
  <si>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</si>
  <si>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</si>
  <si>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</si>
  <si>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</si>
  <si>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</si>
  <si>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</si>
  <si>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</si>
  <si>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</si>
  <si>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</si>
  <si>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</si>
  <si>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</si>
  <si>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</si>
  <si>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</si>
  <si>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</si>
  <si>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</si>
  <si>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</si>
  <si>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</si>
  <si>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</si>
  <si>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</si>
  <si>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</si>
  <si>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</si>
  <si>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</si>
  <si>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</si>
  <si>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</si>
  <si>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</si>
  <si>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</si>
  <si>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</si>
  <si>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</si>
  <si>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</si>
  <si>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</si>
  <si>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</si>
  <si>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</si>
  <si>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</si>
  <si>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</si>
  <si>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</si>
  <si>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</si>
  <si>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</si>
  <si>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</si>
  <si>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</si>
  <si>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</si>
  <si>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</si>
  <si>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</si>
  <si>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</si>
  <si>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</si>
  <si>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</si>
  <si>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</si>
  <si>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</si>
  <si>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</si>
  <si>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</si>
  <si>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</si>
  <si>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</si>
  <si>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</si>
  <si>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</si>
  <si>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</si>
  <si>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</si>
  <si>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</si>
  <si>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</si>
  <si>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</si>
  <si>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</si>
  <si>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</si>
  <si>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</si>
  <si>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</si>
  <si>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</si>
  <si>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</si>
  <si>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</si>
  <si>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</si>
  <si>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</si>
  <si>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</si>
  <si>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</si>
  <si>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</si>
  <si>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</si>
  <si>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</si>
  <si>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</si>
  <si>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</si>
  <si>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</si>
  <si>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</si>
  <si>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</si>
  <si>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</si>
  <si>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</si>
  <si>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</si>
  <si>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</si>
  <si>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</si>
  <si>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</si>
  <si>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</si>
  <si>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</si>
  <si>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</si>
  <si>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</si>
  <si>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</si>
  <si>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</si>
  <si>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</si>
  <si>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</si>
  <si>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</si>
  <si>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</si>
  <si>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</si>
  <si>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</si>
  <si>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</si>
  <si>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</si>
  <si>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</si>
  <si>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</si>
  <si>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</si>
  <si>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</si>
  <si>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</si>
  <si>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</si>
  <si>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</si>
  <si>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</si>
  <si>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</si>
  <si>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</si>
  <si>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</si>
  <si>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</si>
  <si>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</si>
  <si>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</si>
  <si>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</si>
  <si>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</si>
  <si>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</si>
  <si>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</si>
  <si>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</si>
  <si>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</si>
  <si>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</si>
  <si>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</si>
  <si>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</si>
  <si>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</si>
  <si>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</si>
  <si>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</si>
  <si>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</si>
  <si>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</si>
  <si>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</si>
  <si>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</si>
  <si>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</si>
  <si>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</si>
  <si>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</si>
  <si>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</si>
  <si>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</si>
  <si>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</si>
  <si>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</si>
  <si>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</si>
  <si>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</si>
  <si>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</si>
  <si>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</si>
  <si>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</si>
  <si>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</si>
  <si>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</si>
  <si>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</si>
  <si>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</si>
  <si>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</si>
  <si>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</si>
  <si>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</si>
  <si>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</si>
  <si>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</si>
  <si>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</si>
  <si>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</si>
  <si>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</si>
  <si>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</si>
  <si>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</si>
  <si>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</si>
  <si>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</si>
  <si>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</si>
  <si>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</si>
  <si>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</si>
  <si>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</si>
  <si>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</si>
  <si>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</si>
  <si>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</si>
  <si>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</si>
  <si>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</si>
  <si>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</si>
  <si>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</si>
  <si>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</si>
  <si>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</si>
  <si>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</si>
  <si>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</si>
  <si>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</si>
  <si>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</si>
  <si>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</si>
  <si>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</si>
  <si>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</si>
  <si>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</si>
  <si>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</si>
  <si>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</si>
  <si>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</si>
  <si>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</si>
  <si>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</si>
  <si>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</si>
  <si>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</si>
  <si>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</si>
  <si>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</si>
  <si>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</si>
  <si>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</si>
  <si>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</si>
  <si>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</si>
  <si>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</si>
  <si>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</si>
  <si>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</si>
  <si>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</si>
  <si>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</si>
  <si>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</si>
  <si>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</si>
  <si>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</si>
  <si>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</si>
  <si>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</si>
  <si>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</si>
  <si>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</si>
  <si>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</si>
  <si>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</si>
  <si>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</si>
  <si>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</si>
  <si>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</si>
  <si>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</si>
  <si>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</si>
  <si>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</si>
  <si>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</si>
  <si>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</si>
  <si>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</si>
  <si>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</si>
  <si>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</si>
  <si>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</si>
  <si>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</si>
  <si>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</si>
  <si>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</si>
  <si>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</si>
  <si>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</si>
  <si>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</si>
  <si>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</si>
  <si>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</si>
  <si>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</si>
  <si>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</si>
  <si>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</si>
  <si>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</si>
  <si>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</si>
  <si>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</si>
  <si>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</si>
  <si>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</si>
  <si>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</si>
  <si>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</si>
  <si>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</si>
  <si>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</si>
  <si>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</si>
  <si>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</si>
  <si>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</si>
  <si>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</si>
  <si>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</si>
  <si>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</si>
  <si>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</si>
  <si>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</si>
  <si>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</si>
  <si>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</si>
  <si>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</si>
  <si>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</si>
  <si>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</si>
  <si>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</si>
  <si>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</si>
  <si>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</si>
  <si>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</si>
  <si>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</si>
  <si>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</si>
  <si>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</si>
  <si>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</si>
  <si>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</si>
  <si>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</si>
  <si>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</si>
  <si>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</si>
  <si>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</si>
  <si>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</si>
  <si>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</si>
  <si>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</si>
  <si>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</si>
  <si>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</si>
  <si>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</si>
  <si>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</si>
  <si>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</si>
  <si>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</si>
  <si>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</si>
  <si>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Notes</t>
  </si>
  <si>
    <t>Assets (recursos: imagens, vídeos, gifs, paletas de cores)</t>
  </si>
  <si>
    <t>Base (dados para gerar o dashboard principal ou outras medidas)</t>
  </si>
  <si>
    <t>Extra (material de apoio, PDF, documentação)</t>
  </si>
  <si>
    <t>Dashboard (painel visual)</t>
  </si>
  <si>
    <t>Cálculos (fórmulas e cálculos)</t>
  </si>
  <si>
    <t>Rótulos de Linha</t>
  </si>
  <si>
    <t>Total Geral</t>
  </si>
  <si>
    <t>Soma de Total Value</t>
  </si>
  <si>
    <t>Informação: uma pergunta de negócio respondida atráves de uma alguma análise de dados específica</t>
  </si>
  <si>
    <r>
      <t xml:space="preserve">Pergunta de Negócio 2 -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separado por auto renovação ou que não é por auto renovação?</t>
    </r>
  </si>
  <si>
    <r>
      <t xml:space="preserve">Pergunta de Negócio 1 - Qual o faturamento </t>
    </r>
    <r>
      <rPr>
        <b/>
        <sz val="11"/>
        <color theme="1"/>
        <rFont val="Aptos Narrow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</si>
  <si>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#9BC848</t>
  </si>
  <si>
    <t>#22C55E</t>
  </si>
  <si>
    <t>#2AE6B1</t>
  </si>
  <si>
    <t>#5BF6A8</t>
  </si>
  <si>
    <t>Assets (botão direito &gt; propriedades e selecionar não mover ou movimentar com célula)</t>
  </si>
  <si>
    <t>#E8E6E9</t>
  </si>
  <si>
    <t>Pergunta de Negócio 3 - Total de Vendas de Assinaturas do EA Play</t>
  </si>
  <si>
    <t>Soma de EA Play Season Pass</t>
  </si>
  <si>
    <t>Cálculos (fórmulas, cálculos, perguntas de negócio e tabela dinâmica)</t>
  </si>
  <si>
    <t>Pergunta de Negócio 4 - Total de Vendas de Assinaturas do Minecraft</t>
  </si>
  <si>
    <t>Soma de Minecraft Season Pass Price</t>
  </si>
  <si>
    <t>XBOX GAMESS PASS SUBSCRIPTION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</si>
</sst>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scheme val="minor"/>
    </font>
    <font>
      <b/>
      <sz val="11"/>
      <color rgb="FFFF0000"/>
      <name val="Aptos Narrow"/>
      <scheme val="minor"/>
    </font>
    <font>
      <b/>
      <sz val="11"/>
      <color theme="1"/>
      <name val="Aptos Narrow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4" fillId="8" borderId="0" xfId="0" applyFont="1" applyFill="1"/>
    <xf numFmtId="0" fontId="5" fillId="8" borderId="0" xfId="0" applyFont="1" applyFill="1"/>
    <xf numFmtId="0" fontId="6" fillId="8" borderId="0" xfId="0" applyFont="1" applyFill="1"/>
    <xf numFmtId="0" fontId="4" fillId="9" borderId="0" xfId="0" applyFont="1" applyFill="1"/>
    <xf numFmtId="0" fontId="0" fillId="9" borderId="0" xfId="0" applyFill="1"/>
    <xf numFmtId="0" fontId="7" fillId="8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0" fillId="4" borderId="0" xfId="0" applyFill="1" applyBorder="1"/>
    <xf numFmtId="0" fontId="0" fillId="7" borderId="0" xfId="0" applyFill="1" applyBorder="1"/>
    <xf numFmtId="164" fontId="0" fillId="0" borderId="0" xfId="0" applyNumberFormat="1"/>
    <xf numFmtId="0" fontId="10" fillId="0" borderId="2" xfId="1" applyFont="1" applyBorder="1"/>
    <xf numFmtId="0" fontId="9" fillId="0" borderId="2" xfId="1" applyFont="1" applyBorder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0958E133-27BB-4686-AABD-FF20275C1478}">
      <tableStyleElement type="wholeTable" dxfId="2"/>
    </tableStyle>
    <tableStyle name="SlicerStyleLight6 2" pivot="0" table="0" count="10" xr9:uid="{059BDE7D-A480-47B8-ABB7-2BC8FC07B051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45849659766212"/>
          <c:y val="0.27549793215654256"/>
          <c:w val="0.84354150340233791"/>
          <c:h val="0.664562710855030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84-4BD1-9F28-9801D5E89A85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84-4BD1-9F28-9801D5E89A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84-4BD1-9F28-9801D5E89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2620095"/>
        <c:axId val="1892627583"/>
      </c:barChart>
      <c:catAx>
        <c:axId val="1892620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2627583"/>
        <c:crosses val="autoZero"/>
        <c:auto val="1"/>
        <c:lblAlgn val="ctr"/>
        <c:lblOffset val="100"/>
        <c:noMultiLvlLbl val="0"/>
      </c:catAx>
      <c:valAx>
        <c:axId val="1892627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26200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107823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104774</xdr:rowOff>
    </xdr:from>
    <xdr:to>
      <xdr:col>4</xdr:col>
      <xdr:colOff>168351</xdr:colOff>
      <xdr:row>31</xdr:row>
      <xdr:rowOff>95250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oneCellAnchor>
    <xdr:from>
      <xdr:col>11</xdr:col>
      <xdr:colOff>0</xdr:colOff>
      <xdr:row>22</xdr:row>
      <xdr:rowOff>0</xdr:rowOff>
    </xdr:from>
    <xdr:ext cx="304800" cy="295275"/>
    <xdr:sp macro="" textlink="">
      <xdr:nvSpPr>
        <xdr:cNvPr id="1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537C0AE7-B9D3-4491-9DE7-E9544021F2B0}"/>
            </a:ext>
          </a:extLst>
        </xdr:cNvPr>
        <xdr:cNvSpPr>
          <a:spLocks noChangeAspect="1" noChangeArrowheads="1"/>
        </xdr:cNvSpPr>
      </xdr:nvSpPr>
      <xdr:spPr bwMode="auto">
        <a:xfrm>
          <a:off x="7134225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</xdr:row>
      <xdr:rowOff>0</xdr:rowOff>
    </xdr:from>
    <xdr:ext cx="304800" cy="295275"/>
    <xdr:sp macro="" textlink="">
      <xdr:nvSpPr>
        <xdr:cNvPr id="15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20F9F24D-2B5E-4535-9039-325C4C369BEA}"/>
            </a:ext>
          </a:extLst>
        </xdr:cNvPr>
        <xdr:cNvSpPr>
          <a:spLocks noChangeAspect="1" noChangeArrowheads="1"/>
        </xdr:cNvSpPr>
      </xdr:nvSpPr>
      <xdr:spPr bwMode="auto">
        <a:xfrm>
          <a:off x="8505825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631034</xdr:rowOff>
    </xdr:from>
    <xdr:to>
      <xdr:col>0</xdr:col>
      <xdr:colOff>2428875</xdr:colOff>
      <xdr:row>11</xdr:row>
      <xdr:rowOff>107158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BA5AD02-EC98-4AEE-A1DA-BD6F416693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24003"/>
              <a:ext cx="2428875" cy="14049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190501</xdr:colOff>
      <xdr:row>4</xdr:row>
      <xdr:rowOff>16665</xdr:rowOff>
    </xdr:from>
    <xdr:to>
      <xdr:col>16</xdr:col>
      <xdr:colOff>95252</xdr:colOff>
      <xdr:row>12</xdr:row>
      <xdr:rowOff>75005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D832BCC9-A441-4990-AC45-D4059388828F}"/>
            </a:ext>
          </a:extLst>
        </xdr:cNvPr>
        <xdr:cNvGrpSpPr/>
      </xdr:nvGrpSpPr>
      <xdr:grpSpPr>
        <a:xfrm>
          <a:off x="7846220" y="1552571"/>
          <a:ext cx="4548188" cy="1522809"/>
          <a:chOff x="2631281" y="1107279"/>
          <a:chExt cx="4714875" cy="1463278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E2A0D62-330D-4E31-BD2D-A71D0FCA57C0}"/>
              </a:ext>
            </a:extLst>
          </xdr:cNvPr>
          <xdr:cNvSpPr/>
        </xdr:nvSpPr>
        <xdr:spPr>
          <a:xfrm>
            <a:off x="2631281" y="1262059"/>
            <a:ext cx="4702969" cy="129778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21610DE5-2DB0-42FF-8809-3DDF1BE30988}"/>
              </a:ext>
            </a:extLst>
          </xdr:cNvPr>
          <xdr:cNvSpPr/>
        </xdr:nvSpPr>
        <xdr:spPr>
          <a:xfrm>
            <a:off x="4271964" y="1341832"/>
            <a:ext cx="2883693" cy="12287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1C7334B-50C6-487F-A250-1B61945007EB}" type="TxLink">
              <a:rPr lang="en-US" sz="2400" b="1" i="0" u="none" strike="noStrike">
                <a:solidFill>
                  <a:srgbClr val="5BF6A8"/>
                </a:solidFill>
                <a:latin typeface="Aptos Narrow"/>
              </a:rPr>
              <a:pPr algn="ctr"/>
              <a:t>R$ 990,00</a:t>
            </a:fld>
            <a:endParaRPr lang="pt-BR" sz="2400" b="1">
              <a:solidFill>
                <a:srgbClr val="5BF6A8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93BC7578-2A32-4032-85A5-295B2F7B85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8000" y="1379932"/>
            <a:ext cx="1371600" cy="1152525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BA278927-6DF1-4CB3-B21D-2B712645F82B}"/>
              </a:ext>
            </a:extLst>
          </xdr:cNvPr>
          <xdr:cNvSpPr/>
        </xdr:nvSpPr>
        <xdr:spPr>
          <a:xfrm>
            <a:off x="2631281" y="1107279"/>
            <a:ext cx="4714875" cy="39290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de vendas EA Play Season Pass</a:t>
            </a:r>
          </a:p>
        </xdr:txBody>
      </xdr:sp>
    </xdr:grpSp>
    <xdr:clientData/>
  </xdr:twoCellAnchor>
  <xdr:twoCellAnchor editAs="oneCell">
    <xdr:from>
      <xdr:col>1</xdr:col>
      <xdr:colOff>152401</xdr:colOff>
      <xdr:row>4</xdr:row>
      <xdr:rowOff>16665</xdr:rowOff>
    </xdr:from>
    <xdr:to>
      <xdr:col>8</xdr:col>
      <xdr:colOff>250033</xdr:colOff>
      <xdr:row>12</xdr:row>
      <xdr:rowOff>75005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21C01D62-2963-475A-A72D-7F260C0B689A}"/>
            </a:ext>
          </a:extLst>
        </xdr:cNvPr>
        <xdr:cNvGrpSpPr/>
      </xdr:nvGrpSpPr>
      <xdr:grpSpPr>
        <a:xfrm>
          <a:off x="2700339" y="1552571"/>
          <a:ext cx="4514850" cy="1522809"/>
          <a:chOff x="7784306" y="1128710"/>
          <a:chExt cx="4714875" cy="1463278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637E1A30-54EC-4F80-851F-941F45CBE5DE}"/>
              </a:ext>
            </a:extLst>
          </xdr:cNvPr>
          <xdr:cNvSpPr/>
        </xdr:nvSpPr>
        <xdr:spPr>
          <a:xfrm>
            <a:off x="7784306" y="1283490"/>
            <a:ext cx="4702969" cy="129778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6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035C54EF-BFD4-4B91-A288-89D3F5AAEABD}"/>
              </a:ext>
            </a:extLst>
          </xdr:cNvPr>
          <xdr:cNvSpPr/>
        </xdr:nvSpPr>
        <xdr:spPr>
          <a:xfrm>
            <a:off x="9424989" y="1363263"/>
            <a:ext cx="2883693" cy="12287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D24E64F-F7D7-45A3-9033-581513A1A73B}" type="TxLink">
              <a:rPr lang="en-US" sz="2400" b="1" i="0" u="none" strike="noStrike">
                <a:solidFill>
                  <a:srgbClr val="5BF6A8"/>
                </a:solidFill>
                <a:latin typeface="Aptos Narrow"/>
              </a:rPr>
              <a:t>R$ 1.140,00</a:t>
            </a:fld>
            <a:endParaRPr lang="pt-BR" sz="2400" b="1">
              <a:solidFill>
                <a:srgbClr val="5BF6A8"/>
              </a:solidFill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2B3ED371-2BED-4EF8-8EC1-0EB53A6835B0}"/>
              </a:ext>
            </a:extLst>
          </xdr:cNvPr>
          <xdr:cNvSpPr/>
        </xdr:nvSpPr>
        <xdr:spPr>
          <a:xfrm>
            <a:off x="7784306" y="1128710"/>
            <a:ext cx="4714875" cy="39290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de vendas Minecraft</a:t>
            </a:r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5552D0B7-A071-48B1-AF7D-1542FB2DEAC2}"/>
              </a:ext>
            </a:extLst>
          </xdr:cNvPr>
          <xdr:cNvGrpSpPr/>
        </xdr:nvGrpSpPr>
        <xdr:grpSpPr>
          <a:xfrm>
            <a:off x="8189119" y="1649012"/>
            <a:ext cx="978694" cy="65722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4149F039-FC76-4E5C-8B59-9B30C4E19F6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B3BBA78E-35DB-42D5-AEAC-A954234922B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1</xdr:col>
      <xdr:colOff>164569</xdr:colOff>
      <xdr:row>13</xdr:row>
      <xdr:rowOff>59529</xdr:rowOff>
    </xdr:from>
    <xdr:to>
      <xdr:col>16</xdr:col>
      <xdr:colOff>119063</xdr:colOff>
      <xdr:row>27</xdr:row>
      <xdr:rowOff>123893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48A30FB7-81CF-49E4-85A9-8F03183893A2}"/>
            </a:ext>
          </a:extLst>
        </xdr:cNvPr>
        <xdr:cNvGrpSpPr/>
      </xdr:nvGrpSpPr>
      <xdr:grpSpPr>
        <a:xfrm>
          <a:off x="2712507" y="3238498"/>
          <a:ext cx="9705712" cy="2564676"/>
          <a:chOff x="2641069" y="2782484"/>
          <a:chExt cx="9824775" cy="253253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C0BF7E59-9753-436C-85AF-129901B81BAD}"/>
              </a:ext>
            </a:extLst>
          </xdr:cNvPr>
          <xdr:cNvSpPr/>
        </xdr:nvSpPr>
        <xdr:spPr>
          <a:xfrm>
            <a:off x="2641069" y="2786060"/>
            <a:ext cx="9824775" cy="252896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6159025-2B44-46D1-8EED-7E6CCC204AE4}"/>
              </a:ext>
            </a:extLst>
          </xdr:cNvPr>
          <xdr:cNvGraphicFramePr>
            <a:graphicFrameLocks/>
          </xdr:cNvGraphicFramePr>
        </xdr:nvGraphicFramePr>
        <xdr:xfrm>
          <a:off x="2901340" y="2877103"/>
          <a:ext cx="9435413" cy="23306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2BD4E144-C492-404A-89A0-8095D11F76AE}"/>
              </a:ext>
            </a:extLst>
          </xdr:cNvPr>
          <xdr:cNvSpPr/>
        </xdr:nvSpPr>
        <xdr:spPr>
          <a:xfrm>
            <a:off x="2676527" y="2782484"/>
            <a:ext cx="9777410" cy="39290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de subcriptions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833437</xdr:colOff>
      <xdr:row>0</xdr:row>
      <xdr:rowOff>148829</xdr:rowOff>
    </xdr:from>
    <xdr:to>
      <xdr:col>0</xdr:col>
      <xdr:colOff>1604962</xdr:colOff>
      <xdr:row>2</xdr:row>
      <xdr:rowOff>234554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6037CCC3-A31C-41DF-AA94-3EBA3F8155D4}"/>
            </a:ext>
          </a:extLst>
        </xdr:cNvPr>
        <xdr:cNvSpPr/>
      </xdr:nvSpPr>
      <xdr:spPr>
        <a:xfrm>
          <a:off x="833437" y="148829"/>
          <a:ext cx="771525" cy="6572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95250</xdr:colOff>
      <xdr:row>3</xdr:row>
      <xdr:rowOff>59531</xdr:rowOff>
    </xdr:from>
    <xdr:to>
      <xdr:col>0</xdr:col>
      <xdr:colOff>2321719</xdr:colOff>
      <xdr:row>3</xdr:row>
      <xdr:rowOff>357187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138F734E-3C01-4662-BD12-B133AA733AF2}"/>
            </a:ext>
          </a:extLst>
        </xdr:cNvPr>
        <xdr:cNvSpPr txBox="1"/>
      </xdr:nvSpPr>
      <xdr:spPr>
        <a:xfrm>
          <a:off x="95250" y="952500"/>
          <a:ext cx="2226469" cy="2976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/>
            <a:t>Bem vindo,</a:t>
          </a:r>
          <a:r>
            <a:rPr lang="pt-BR" sz="1600" baseline="0"/>
            <a:t> Daniel</a:t>
          </a:r>
          <a:endParaRPr lang="pt-BR" sz="1600"/>
        </a:p>
      </xdr:txBody>
    </xdr:sp>
    <xdr:clientData/>
  </xdr:twoCellAnchor>
  <xdr:twoCellAnchor editAs="absolute">
    <xdr:from>
      <xdr:col>0</xdr:col>
      <xdr:colOff>885824</xdr:colOff>
      <xdr:row>10</xdr:row>
      <xdr:rowOff>126208</xdr:rowOff>
    </xdr:from>
    <xdr:to>
      <xdr:col>0</xdr:col>
      <xdr:colOff>1552574</xdr:colOff>
      <xdr:row>14</xdr:row>
      <xdr:rowOff>42865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D8343C-2CA8-4C2A-8552-9A1EFEC81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4" t="14660" r="72668" b="20592"/>
        <a:stretch/>
      </xdr:blipFill>
      <xdr:spPr>
        <a:xfrm>
          <a:off x="885824" y="2769396"/>
          <a:ext cx="666750" cy="631032"/>
        </a:xfrm>
        <a:prstGeom prst="rect">
          <a:avLst/>
        </a:prstGeom>
      </xdr:spPr>
    </xdr:pic>
    <xdr:clientData/>
  </xdr:twoCellAnchor>
  <xdr:twoCellAnchor>
    <xdr:from>
      <xdr:col>1</xdr:col>
      <xdr:colOff>154782</xdr:colOff>
      <xdr:row>3</xdr:row>
      <xdr:rowOff>47625</xdr:rowOff>
    </xdr:from>
    <xdr:to>
      <xdr:col>13</xdr:col>
      <xdr:colOff>0</xdr:colOff>
      <xdr:row>4</xdr:row>
      <xdr:rowOff>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4F67EB7D-1658-473B-B2CC-23F8FAED42F5}"/>
            </a:ext>
          </a:extLst>
        </xdr:cNvPr>
        <xdr:cNvSpPr txBox="1"/>
      </xdr:nvSpPr>
      <xdr:spPr>
        <a:xfrm>
          <a:off x="2631282" y="940594"/>
          <a:ext cx="7524749" cy="595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solidFill>
                <a:schemeClr val="tx1">
                  <a:lumMod val="65000"/>
                  <a:lumOff val="35000"/>
                </a:schemeClr>
              </a:solidFill>
            </a:rPr>
            <a:t>Período</a:t>
          </a:r>
          <a:r>
            <a:rPr lang="pt-BR" sz="1100" b="0" baseline="0">
              <a:solidFill>
                <a:schemeClr val="tx1">
                  <a:lumMod val="65000"/>
                  <a:lumOff val="35000"/>
                </a:schemeClr>
              </a:solidFill>
            </a:rPr>
            <a:t> de apuração: 01/01/2025 - 31/12/2025 | Atualizado em: 15/01/2026 às 23:06</a:t>
          </a:r>
          <a:endParaRPr lang="pt-BR" sz="11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ita" refreshedDate="46037.885536458336" createdVersion="7" refreshedVersion="7" minRefreshableVersion="3" recordCount="295" xr:uid="{BB1790E3-E4FA-46F3-BCC0-7E823ADA5EE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846044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83F7F-4C7D-4EA3-8C61-5E23FE0ED3CE}" name="Tabela dinâmica4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2:C36" firstHeaderRow="1" firstDataRow="1" firstDataCol="1" rowPageCount="1" colPageCount="1"/>
  <pivotFields count="13">
    <pivotField showAll="0"/>
    <pivotField name="tbl_anual_total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0E05C-E1C4-4716-AAFD-A9A69CEDB21E}" name="tbl_easeasonpass_total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1:C23" firstHeaderRow="1" firstDataRow="1" firstDataCol="1" rowPageCount="1" colPageCount="1"/>
  <pivotFields count="13">
    <pivotField showAll="0"/>
    <pivotField name="tbl_anual_total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2A97B-7A72-4BD7-B746-3FB84DA0A724}" name="Tabela dinâ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0:C13" firstHeaderRow="1" firstDataRow="1" firstDataCol="1" rowPageCount="1" colPageCount="1"/>
  <pivotFields count="13">
    <pivotField showAll="0"/>
    <pivotField name="tbl_anual_total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5F305D0-A5FD-40A7-8EE8-FF6B72C521FC}" sourceName="Subscription Type">
  <pivotTables>
    <pivotTable tabId="3" name="Tabela dinâmica2"/>
    <pivotTable tabId="3" name="tbl_easeasonpass_total"/>
    <pivotTable tabId="3" name="Tabela dinâmica4"/>
  </pivotTables>
  <data>
    <tabular pivotCacheId="168460444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1E5E831-A66B-4A6C-B121-D730AA0AB404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Q26"/>
  <sheetViews>
    <sheetView showGridLines="0" topLeftCell="A6" zoomScaleNormal="100" workbookViewId="0">
      <selection activeCell="C44" sqref="C44"/>
    </sheetView>
  </sheetViews>
  <sheetFormatPr defaultRowHeight="14.25"/>
  <cols>
    <col min="9" max="9" width="3.625" customWidth="1"/>
  </cols>
  <sheetData>
    <row r="3" spans="2:17" ht="20.25" thickBot="1">
      <c r="B3" s="1" t="s">
        <v>0</v>
      </c>
      <c r="C3" s="1"/>
      <c r="D3" s="1"/>
      <c r="E3" s="1"/>
      <c r="F3" s="1"/>
      <c r="G3" s="1"/>
      <c r="H3" s="1"/>
      <c r="J3" s="18" t="s">
        <v>308</v>
      </c>
      <c r="K3" s="13"/>
      <c r="L3" s="13"/>
      <c r="M3" s="13"/>
      <c r="N3" s="13"/>
      <c r="O3" s="13"/>
      <c r="P3" s="13"/>
    </row>
    <row r="4" spans="2:17" ht="15" thickTop="1">
      <c r="J4" s="14" t="s">
        <v>309</v>
      </c>
      <c r="K4" s="13"/>
      <c r="L4" s="13"/>
      <c r="M4" s="13"/>
      <c r="N4" s="13"/>
      <c r="O4" s="13"/>
      <c r="P4" s="13"/>
    </row>
    <row r="5" spans="2:17">
      <c r="B5" s="3" t="s">
        <v>320</v>
      </c>
      <c r="C5" t="s">
        <v>3</v>
      </c>
      <c r="E5" s="7" t="s">
        <v>325</v>
      </c>
      <c r="F5" t="s">
        <v>2</v>
      </c>
      <c r="J5" s="15" t="s">
        <v>310</v>
      </c>
      <c r="K5" s="13"/>
      <c r="L5" s="13"/>
      <c r="M5" s="13"/>
      <c r="N5" s="13"/>
      <c r="O5" s="13"/>
      <c r="P5" s="13"/>
    </row>
    <row r="6" spans="2:17">
      <c r="B6" s="4" t="s">
        <v>321</v>
      </c>
      <c r="C6" t="s">
        <v>3</v>
      </c>
      <c r="J6" s="15" t="s">
        <v>328</v>
      </c>
      <c r="K6" s="13"/>
      <c r="L6" s="13"/>
      <c r="M6" s="13"/>
      <c r="N6" s="13"/>
      <c r="O6" s="13"/>
      <c r="P6" s="13"/>
    </row>
    <row r="7" spans="2:17">
      <c r="B7" s="5" t="s">
        <v>322</v>
      </c>
      <c r="C7" t="s">
        <v>4</v>
      </c>
      <c r="J7" s="15" t="s">
        <v>312</v>
      </c>
      <c r="K7" s="13"/>
      <c r="L7" s="13"/>
      <c r="M7" s="13"/>
      <c r="N7" s="13"/>
      <c r="O7" s="13"/>
      <c r="P7" s="13"/>
    </row>
    <row r="8" spans="2:17">
      <c r="B8" s="6" t="s">
        <v>323</v>
      </c>
      <c r="C8" t="s">
        <v>4</v>
      </c>
      <c r="J8" s="15" t="s">
        <v>311</v>
      </c>
      <c r="K8" s="13"/>
      <c r="L8" s="13"/>
      <c r="M8" s="13"/>
      <c r="N8" s="13"/>
      <c r="O8" s="13"/>
      <c r="P8" s="13"/>
    </row>
    <row r="9" spans="2:17">
      <c r="J9" s="13"/>
      <c r="K9" s="13"/>
      <c r="L9" s="13"/>
      <c r="M9" s="13"/>
      <c r="N9" s="13"/>
      <c r="O9" s="13"/>
      <c r="P9" s="13"/>
    </row>
    <row r="10" spans="2:17">
      <c r="J10" s="16"/>
      <c r="K10" s="16"/>
      <c r="L10" s="16"/>
      <c r="M10" s="16"/>
      <c r="N10" s="16"/>
      <c r="O10" s="16"/>
      <c r="P10" s="16"/>
      <c r="Q10" s="17"/>
    </row>
    <row r="11" spans="2:17">
      <c r="J11" s="16"/>
      <c r="K11" s="16"/>
      <c r="L11" s="16"/>
      <c r="M11" s="16"/>
      <c r="N11" s="16"/>
      <c r="O11" s="16"/>
      <c r="P11" s="16"/>
      <c r="Q11" s="17"/>
    </row>
    <row r="12" spans="2:17" ht="20.25" thickBot="1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7" ht="15" thickTop="1">
      <c r="B13" s="2"/>
      <c r="C13" s="2"/>
      <c r="D13" s="2"/>
      <c r="E13" s="2"/>
      <c r="F13" s="2"/>
      <c r="G13" s="2"/>
      <c r="H13" s="2"/>
    </row>
    <row r="14" spans="2:17">
      <c r="B14" s="2"/>
      <c r="C14" s="2"/>
      <c r="D14" s="2"/>
      <c r="E14" s="2"/>
      <c r="F14" s="2"/>
      <c r="G14" s="2"/>
      <c r="H14" s="2"/>
    </row>
    <row r="15" spans="2:17">
      <c r="B15" s="2"/>
      <c r="C15" s="2"/>
      <c r="D15" s="2"/>
      <c r="E15" s="2"/>
      <c r="F15" s="2"/>
      <c r="G15" s="2"/>
      <c r="H15" s="2"/>
    </row>
    <row r="16" spans="2:17">
      <c r="B16" s="2"/>
      <c r="C16" s="2"/>
      <c r="D16" s="2"/>
      <c r="E16" s="2"/>
      <c r="F16" s="2"/>
      <c r="G16" s="2"/>
      <c r="H16" s="2"/>
    </row>
    <row r="17" spans="2:17">
      <c r="B17" s="2"/>
      <c r="C17" s="2"/>
      <c r="D17" s="2"/>
      <c r="E17" s="2"/>
      <c r="F17" s="2"/>
      <c r="G17" s="2"/>
      <c r="H17" s="2"/>
    </row>
    <row r="18" spans="2:17">
      <c r="B18" s="2"/>
      <c r="C18" s="2"/>
      <c r="D18" s="2"/>
      <c r="E18" s="2"/>
      <c r="F18" s="2"/>
      <c r="G18" s="2"/>
      <c r="H18" s="2"/>
    </row>
    <row r="19" spans="2:17">
      <c r="B19" s="2"/>
      <c r="C19" s="2"/>
      <c r="D19" s="2"/>
      <c r="E19" s="2"/>
      <c r="F19" s="2"/>
      <c r="G19" s="2"/>
      <c r="H19" s="2"/>
    </row>
    <row r="20" spans="2:17" ht="15">
      <c r="B20" s="2"/>
      <c r="C20" s="2"/>
      <c r="D20" s="2"/>
      <c r="E20" s="2"/>
      <c r="F20" s="2"/>
      <c r="G20" s="2"/>
      <c r="H20" s="2"/>
      <c r="J20" s="18" t="s">
        <v>308</v>
      </c>
      <c r="K20" s="13"/>
      <c r="L20" s="13"/>
      <c r="M20" s="13"/>
      <c r="N20" s="13"/>
      <c r="O20" s="13"/>
      <c r="P20" s="13"/>
      <c r="Q20" s="12"/>
    </row>
    <row r="21" spans="2:17">
      <c r="B21" s="2"/>
      <c r="C21" s="2"/>
      <c r="D21" s="2"/>
      <c r="E21" s="2"/>
      <c r="F21" s="2"/>
      <c r="G21" s="2"/>
      <c r="H21" s="2"/>
      <c r="J21" s="14" t="s">
        <v>324</v>
      </c>
      <c r="K21" s="13"/>
      <c r="L21" s="13"/>
      <c r="M21" s="13"/>
      <c r="N21" s="13"/>
      <c r="O21" s="13"/>
      <c r="P21" s="13"/>
      <c r="Q21" s="12"/>
    </row>
    <row r="22" spans="2:17">
      <c r="J22" s="15" t="s">
        <v>310</v>
      </c>
      <c r="K22" s="13"/>
      <c r="L22" s="13"/>
      <c r="M22" s="13"/>
      <c r="N22" s="13"/>
      <c r="O22" s="13"/>
      <c r="P22" s="13"/>
      <c r="Q22" s="12"/>
    </row>
    <row r="23" spans="2:17">
      <c r="J23" s="15" t="s">
        <v>313</v>
      </c>
      <c r="K23" s="13"/>
      <c r="L23" s="13"/>
      <c r="M23" s="13"/>
      <c r="N23" s="13"/>
      <c r="O23" s="13"/>
      <c r="P23" s="13"/>
      <c r="Q23" s="12"/>
    </row>
    <row r="24" spans="2:17">
      <c r="J24" s="15" t="s">
        <v>312</v>
      </c>
      <c r="K24" s="13"/>
      <c r="L24" s="13"/>
      <c r="M24" s="13"/>
      <c r="N24" s="13"/>
      <c r="O24" s="13"/>
      <c r="P24" s="13"/>
      <c r="Q24" s="12"/>
    </row>
    <row r="25" spans="2:17">
      <c r="J25" s="15" t="s">
        <v>311</v>
      </c>
      <c r="K25" s="13"/>
      <c r="L25" s="13"/>
      <c r="M25" s="13"/>
      <c r="N25" s="13"/>
      <c r="O25" s="13"/>
      <c r="P25" s="13"/>
      <c r="Q25" s="12"/>
    </row>
    <row r="26" spans="2:17">
      <c r="J26" s="13"/>
      <c r="K26" s="13"/>
      <c r="L26" s="13"/>
      <c r="M26" s="13"/>
      <c r="N26" s="13"/>
      <c r="O26" s="13"/>
      <c r="P26" s="13"/>
      <c r="Q26" s="1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07" zoomScale="90" zoomScaleNormal="90" workbookViewId="0">
      <selection activeCell="C44" sqref="C4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A21" workbookViewId="0">
      <selection activeCell="C44" sqref="C44"/>
    </sheetView>
  </sheetViews>
  <sheetFormatPr defaultRowHeight="14.25"/>
  <cols>
    <col min="2" max="2" width="18" bestFit="1" customWidth="1"/>
    <col min="3" max="3" width="35.125" bestFit="1" customWidth="1"/>
    <col min="4" max="4" width="17.125" customWidth="1"/>
    <col min="5" max="5" width="12.37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>
      <c r="B3" t="s">
        <v>317</v>
      </c>
    </row>
    <row r="5" spans="2:3" ht="15">
      <c r="B5" t="s">
        <v>319</v>
      </c>
    </row>
    <row r="6" spans="2:3" ht="15">
      <c r="B6" s="20" t="s">
        <v>318</v>
      </c>
    </row>
    <row r="7" spans="2:3" ht="15">
      <c r="B7" s="20"/>
    </row>
    <row r="8" spans="2:3" ht="15">
      <c r="B8" s="19" t="s">
        <v>11</v>
      </c>
      <c r="C8" t="s">
        <v>22</v>
      </c>
    </row>
    <row r="9" spans="2:3">
      <c r="B9" s="20"/>
    </row>
    <row r="10" spans="2:3">
      <c r="B10" s="19" t="s">
        <v>314</v>
      </c>
      <c r="C10" t="s">
        <v>316</v>
      </c>
    </row>
    <row r="11" spans="2:3">
      <c r="B11" s="20" t="s">
        <v>18</v>
      </c>
      <c r="C11" s="21">
        <v>806</v>
      </c>
    </row>
    <row r="12" spans="2:3">
      <c r="B12" s="20" t="s">
        <v>14</v>
      </c>
      <c r="C12" s="21">
        <v>1502</v>
      </c>
    </row>
    <row r="13" spans="2:3">
      <c r="B13" s="20" t="s">
        <v>315</v>
      </c>
      <c r="C13" s="21">
        <v>2308</v>
      </c>
    </row>
    <row r="15" spans="2:3" ht="15">
      <c r="B15" t="s">
        <v>326</v>
      </c>
    </row>
    <row r="19" spans="2:5">
      <c r="B19" s="19" t="s">
        <v>11</v>
      </c>
      <c r="C19" t="s">
        <v>22</v>
      </c>
    </row>
    <row r="20" spans="2:5">
      <c r="B20" s="20"/>
    </row>
    <row r="21" spans="2:5">
      <c r="B21" s="19" t="s">
        <v>314</v>
      </c>
      <c r="C21" t="s">
        <v>327</v>
      </c>
    </row>
    <row r="22" spans="2:5">
      <c r="B22" s="20" t="s">
        <v>13</v>
      </c>
      <c r="C22" s="21">
        <v>990</v>
      </c>
    </row>
    <row r="23" spans="2:5">
      <c r="B23" s="20" t="s">
        <v>315</v>
      </c>
      <c r="C23" s="21">
        <v>990</v>
      </c>
      <c r="E23" s="25">
        <f>GETPIVOTDATA("EA Play Season Pass
Price",$B$21)</f>
        <v>990</v>
      </c>
    </row>
    <row r="27" spans="2:5">
      <c r="B27" t="s">
        <v>329</v>
      </c>
    </row>
    <row r="30" spans="2:5">
      <c r="B30" s="19" t="s">
        <v>11</v>
      </c>
      <c r="C30" t="s">
        <v>22</v>
      </c>
    </row>
    <row r="31" spans="2:5">
      <c r="B31" s="20"/>
    </row>
    <row r="32" spans="2:5">
      <c r="B32" s="19" t="s">
        <v>314</v>
      </c>
      <c r="C32" t="s">
        <v>330</v>
      </c>
    </row>
    <row r="33" spans="2:5">
      <c r="B33" s="20" t="s">
        <v>17</v>
      </c>
      <c r="C33" s="21">
        <v>0</v>
      </c>
    </row>
    <row r="34" spans="2:5">
      <c r="B34" s="20" t="s">
        <v>21</v>
      </c>
      <c r="C34" s="21">
        <v>480</v>
      </c>
    </row>
    <row r="35" spans="2:5">
      <c r="B35" s="20" t="s">
        <v>13</v>
      </c>
      <c r="C35" s="21">
        <v>660</v>
      </c>
    </row>
    <row r="36" spans="2:5">
      <c r="B36" s="20" t="s">
        <v>315</v>
      </c>
      <c r="C36" s="21">
        <v>1140</v>
      </c>
      <c r="E36" s="25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GC425"/>
  <sheetViews>
    <sheetView showGridLines="0" tabSelected="1" zoomScale="80" zoomScaleNormal="80" workbookViewId="0">
      <selection activeCell="O31" sqref="O31"/>
    </sheetView>
  </sheetViews>
  <sheetFormatPr defaultRowHeight="14.25"/>
  <cols>
    <col min="1" max="1" width="33.5" style="23" customWidth="1"/>
    <col min="2" max="2" width="3.625" style="22" customWidth="1"/>
    <col min="12" max="12" width="6.625" customWidth="1"/>
  </cols>
  <sheetData>
    <row r="2" spans="2:185" ht="30.75" customHeight="1" thickBot="1">
      <c r="C2" s="26" t="s">
        <v>331</v>
      </c>
      <c r="D2" s="27"/>
      <c r="E2" s="27"/>
      <c r="F2" s="27"/>
      <c r="G2" s="27"/>
      <c r="H2" s="27"/>
      <c r="I2" s="27"/>
      <c r="J2" s="27"/>
      <c r="K2" s="27"/>
      <c r="L2" s="28"/>
      <c r="M2" s="28"/>
      <c r="N2" s="28"/>
      <c r="O2" s="28"/>
      <c r="P2" s="28"/>
      <c r="Q2" s="22"/>
    </row>
    <row r="3" spans="2:185" ht="25.5" customHeight="1" thickTop="1">
      <c r="C3" s="22"/>
      <c r="D3" s="22"/>
      <c r="E3" s="22"/>
      <c r="F3" s="22"/>
      <c r="G3" s="22"/>
      <c r="H3" s="22"/>
      <c r="I3" s="22"/>
      <c r="J3" s="22"/>
      <c r="K3" s="22"/>
    </row>
    <row r="4" spans="2:185" ht="50.25" customHeight="1">
      <c r="B4" s="24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</row>
    <row r="5" spans="2:185" ht="8.25" customHeight="1">
      <c r="B5" s="2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</row>
    <row r="6" spans="2:185" ht="7.5" customHeight="1">
      <c r="B6" s="24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</row>
    <row r="7" spans="2:185" ht="10.5" customHeight="1">
      <c r="B7" s="24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</row>
    <row r="8" spans="2:185" ht="14.25" customHeight="1">
      <c r="B8" s="24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</row>
    <row r="9" spans="2:185" ht="33" customHeight="1">
      <c r="B9" s="2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</row>
    <row r="10" spans="2:185">
      <c r="B10" s="2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</row>
    <row r="11" spans="2:185">
      <c r="B11" s="2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</row>
    <row r="12" spans="2:185">
      <c r="B12" s="2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</row>
    <row r="13" spans="2:185">
      <c r="B13" s="24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</row>
    <row r="14" spans="2:185">
      <c r="B14" s="24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</row>
    <row r="15" spans="2:185">
      <c r="B15" s="2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</row>
    <row r="16" spans="2:185">
      <c r="B16" s="2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</row>
    <row r="17" spans="2:185">
      <c r="B17" s="2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</row>
    <row r="18" spans="2:185">
      <c r="B18" s="2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</row>
    <row r="19" spans="2:185">
      <c r="B19" s="2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</row>
    <row r="20" spans="2:185">
      <c r="B20" s="2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</row>
    <row r="21" spans="2:185">
      <c r="B21" s="2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</row>
    <row r="22" spans="2:185">
      <c r="B22" s="2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</row>
    <row r="23" spans="2:185">
      <c r="B23" s="2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</row>
    <row r="24" spans="2:185">
      <c r="B24" s="2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</row>
    <row r="25" spans="2:185">
      <c r="B25" s="2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</row>
    <row r="26" spans="2:185">
      <c r="B26" s="2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</row>
    <row r="27" spans="2:185">
      <c r="B27" s="2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</row>
    <row r="28" spans="2:185">
      <c r="B28" s="2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</row>
    <row r="29" spans="2:185">
      <c r="B29" s="2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</row>
    <row r="30" spans="2:185">
      <c r="B30" s="2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</row>
    <row r="31" spans="2:185">
      <c r="B31" s="2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</row>
    <row r="32" spans="2:185">
      <c r="B32" s="2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</row>
    <row r="33" spans="2:185">
      <c r="B33" s="2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</row>
    <row r="34" spans="2:185">
      <c r="B34" s="2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</row>
    <row r="35" spans="2:185">
      <c r="B35" s="2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</row>
    <row r="36" spans="2:185">
      <c r="B36" s="2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</row>
    <row r="37" spans="2:185">
      <c r="B37" s="2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</row>
    <row r="38" spans="2:185">
      <c r="B38" s="2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</row>
    <row r="39" spans="2:185">
      <c r="B39" s="2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</row>
    <row r="40" spans="2:185">
      <c r="B40" s="2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</row>
    <row r="41" spans="2:185">
      <c r="B41" s="2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</row>
    <row r="42" spans="2:185">
      <c r="B42" s="2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</row>
    <row r="43" spans="2:185">
      <c r="B43" s="2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</row>
    <row r="44" spans="2:185">
      <c r="B44" s="2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</row>
    <row r="45" spans="2:185">
      <c r="B45" s="2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</row>
    <row r="46" spans="2:185">
      <c r="B46" s="2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</row>
    <row r="47" spans="2:185">
      <c r="B47" s="2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</row>
    <row r="48" spans="2:185">
      <c r="B48" s="2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</row>
    <row r="49" spans="2:185">
      <c r="B49" s="2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</row>
    <row r="50" spans="2:185">
      <c r="B50" s="2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</row>
    <row r="51" spans="2:185">
      <c r="B51" s="2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</row>
    <row r="52" spans="2:185">
      <c r="B52" s="2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</row>
    <row r="53" spans="2:185">
      <c r="B53" s="2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</row>
    <row r="54" spans="2:185">
      <c r="B54" s="2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</row>
    <row r="55" spans="2:185">
      <c r="B55" s="2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</row>
    <row r="56" spans="2:185">
      <c r="B56" s="2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</row>
    <row r="57" spans="2:185">
      <c r="B57" s="2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</row>
    <row r="58" spans="2:185">
      <c r="B58" s="2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</row>
    <row r="59" spans="2:185">
      <c r="B59" s="2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</row>
    <row r="60" spans="2:185">
      <c r="B60" s="2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</row>
    <row r="61" spans="2:185">
      <c r="B61" s="2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</row>
    <row r="62" spans="2:185">
      <c r="B62" s="2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</row>
    <row r="63" spans="2:185">
      <c r="B63" s="2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</row>
    <row r="64" spans="2:185">
      <c r="B64" s="2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</row>
    <row r="65" spans="2:185">
      <c r="B65" s="2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</row>
    <row r="66" spans="2:185">
      <c r="B66" s="2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</row>
    <row r="67" spans="2:185">
      <c r="B67" s="2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</row>
    <row r="68" spans="2:185">
      <c r="B68" s="2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</row>
    <row r="69" spans="2:185">
      <c r="B69" s="2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</row>
    <row r="70" spans="2:185">
      <c r="B70" s="2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</row>
    <row r="71" spans="2:185">
      <c r="B71" s="2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</row>
    <row r="72" spans="2:185">
      <c r="B72" s="2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</row>
    <row r="73" spans="2:185">
      <c r="B73" s="2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</row>
    <row r="74" spans="2:185">
      <c r="B74" s="2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</row>
    <row r="75" spans="2:185">
      <c r="B75" s="2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</row>
    <row r="76" spans="2:185">
      <c r="B76" s="2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</row>
    <row r="77" spans="2:185">
      <c r="B77" s="2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</row>
    <row r="78" spans="2:185">
      <c r="B78" s="2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</row>
    <row r="79" spans="2:185">
      <c r="B79" s="2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</row>
    <row r="80" spans="2:185">
      <c r="B80" s="2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</row>
    <row r="81" spans="2:185">
      <c r="B81" s="2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</row>
    <row r="82" spans="2:185">
      <c r="B82" s="2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</row>
    <row r="83" spans="2:185">
      <c r="B83" s="2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</row>
    <row r="84" spans="2:185">
      <c r="B84" s="2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</row>
    <row r="85" spans="2:185">
      <c r="B85" s="2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</row>
    <row r="86" spans="2:185">
      <c r="B86" s="2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</row>
    <row r="87" spans="2:185">
      <c r="B87" s="2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</row>
    <row r="88" spans="2:185">
      <c r="B88" s="2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</row>
    <row r="89" spans="2:185">
      <c r="B89" s="2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</row>
    <row r="90" spans="2:185">
      <c r="B90" s="2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</row>
    <row r="91" spans="2:185">
      <c r="B91" s="2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</row>
    <row r="92" spans="2:185">
      <c r="B92" s="2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</row>
    <row r="93" spans="2:185">
      <c r="B93" s="2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</row>
    <row r="94" spans="2:185">
      <c r="B94" s="2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</row>
    <row r="95" spans="2:185">
      <c r="B95" s="2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</row>
    <row r="96" spans="2:185">
      <c r="B96" s="2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</row>
    <row r="97" spans="2:185">
      <c r="B97" s="2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</row>
    <row r="98" spans="2:185">
      <c r="B98" s="2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</row>
    <row r="99" spans="2:185">
      <c r="B99" s="2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</row>
    <row r="100" spans="2:185">
      <c r="B100" s="2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</row>
    <row r="101" spans="2:185">
      <c r="B101" s="2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</row>
    <row r="102" spans="2:185">
      <c r="B102" s="2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</row>
    <row r="103" spans="2:185">
      <c r="B103" s="2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</row>
    <row r="104" spans="2:185">
      <c r="B104" s="2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</row>
    <row r="105" spans="2:185">
      <c r="B105" s="2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</row>
    <row r="106" spans="2:185">
      <c r="B106" s="2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</row>
    <row r="107" spans="2:185">
      <c r="B107" s="2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</row>
    <row r="108" spans="2:185">
      <c r="B108" s="2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</row>
    <row r="109" spans="2:185">
      <c r="B109" s="2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</row>
    <row r="110" spans="2:185">
      <c r="B110" s="2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</row>
    <row r="111" spans="2:185">
      <c r="B111" s="2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</row>
    <row r="112" spans="2:185">
      <c r="B112" s="2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</row>
    <row r="113" spans="2:185">
      <c r="B113" s="2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</row>
    <row r="114" spans="2:185">
      <c r="B114" s="2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</row>
    <row r="115" spans="2:185">
      <c r="B115" s="2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</row>
    <row r="116" spans="2:185">
      <c r="B116" s="2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</row>
    <row r="117" spans="2:185">
      <c r="B117" s="2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</row>
    <row r="118" spans="2:185">
      <c r="B118" s="2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</row>
    <row r="119" spans="2:185">
      <c r="B119" s="2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</row>
    <row r="120" spans="2:185">
      <c r="B120" s="2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</row>
    <row r="121" spans="2:185">
      <c r="B121" s="2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</row>
    <row r="122" spans="2:185">
      <c r="B122" s="2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</row>
    <row r="123" spans="2:185">
      <c r="B123" s="2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</row>
    <row r="124" spans="2:185">
      <c r="B124" s="2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</row>
    <row r="125" spans="2:185">
      <c r="B125" s="2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</row>
    <row r="126" spans="2:185">
      <c r="B126" s="2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</row>
    <row r="127" spans="2:185">
      <c r="B127" s="2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</row>
    <row r="128" spans="2:185">
      <c r="B128" s="2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</row>
    <row r="129" spans="2:185">
      <c r="B129" s="2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</row>
    <row r="130" spans="2:185">
      <c r="B130" s="2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</row>
    <row r="131" spans="2:185">
      <c r="B131" s="2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</row>
    <row r="132" spans="2:185">
      <c r="B132" s="2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</row>
    <row r="133" spans="2:185">
      <c r="B133" s="2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</row>
    <row r="134" spans="2:185">
      <c r="B134" s="2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</row>
    <row r="135" spans="2:185">
      <c r="B135" s="2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</row>
    <row r="136" spans="2:185">
      <c r="B136" s="2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</row>
    <row r="137" spans="2:185">
      <c r="B137" s="2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</row>
    <row r="138" spans="2:185">
      <c r="B138" s="2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</row>
    <row r="139" spans="2:185">
      <c r="B139" s="2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</row>
    <row r="140" spans="2:185">
      <c r="B140" s="2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</row>
    <row r="141" spans="2:185">
      <c r="B141" s="2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</row>
    <row r="142" spans="2:185">
      <c r="B142" s="2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</row>
    <row r="143" spans="2:185">
      <c r="B143" s="2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</row>
    <row r="144" spans="2:185">
      <c r="B144" s="2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</row>
    <row r="145" spans="2:185">
      <c r="B145" s="2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</row>
    <row r="146" spans="2:185">
      <c r="B146" s="2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</row>
    <row r="147" spans="2:185">
      <c r="B147" s="2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</row>
    <row r="148" spans="2:185">
      <c r="B148" s="2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</row>
    <row r="149" spans="2:185">
      <c r="B149" s="2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</row>
    <row r="150" spans="2:185">
      <c r="B150" s="2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</row>
    <row r="151" spans="2:185">
      <c r="B151" s="2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</row>
    <row r="152" spans="2:185">
      <c r="B152" s="2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</row>
    <row r="153" spans="2:185">
      <c r="B153" s="2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</row>
    <row r="154" spans="2:185">
      <c r="B154" s="2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</row>
    <row r="155" spans="2:185">
      <c r="B155" s="2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</row>
    <row r="156" spans="2:185">
      <c r="B156" s="2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</row>
    <row r="157" spans="2:185">
      <c r="B157" s="2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</row>
    <row r="158" spans="2:185">
      <c r="B158" s="2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</row>
    <row r="159" spans="2:185">
      <c r="B159" s="2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</row>
    <row r="160" spans="2:185">
      <c r="B160" s="2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</row>
    <row r="161" spans="2:185">
      <c r="B161" s="2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</row>
    <row r="162" spans="2:185">
      <c r="B162" s="2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</row>
    <row r="163" spans="2:185">
      <c r="B163" s="2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</row>
    <row r="164" spans="2:185">
      <c r="B164" s="2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</row>
    <row r="165" spans="2:185">
      <c r="B165" s="2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</row>
    <row r="166" spans="2:185">
      <c r="B166" s="2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</row>
    <row r="167" spans="2:185">
      <c r="B167" s="2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</row>
    <row r="168" spans="2:185">
      <c r="B168" s="2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</row>
    <row r="169" spans="2:185">
      <c r="B169" s="2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</row>
    <row r="170" spans="2:185">
      <c r="B170" s="2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</row>
    <row r="171" spans="2:185">
      <c r="B171" s="2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</row>
    <row r="172" spans="2:185">
      <c r="B172" s="2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</row>
    <row r="173" spans="2:185">
      <c r="B173" s="2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</row>
    <row r="174" spans="2:185">
      <c r="B174" s="2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</row>
    <row r="175" spans="2:185">
      <c r="B175" s="2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</row>
    <row r="176" spans="2:185">
      <c r="B176" s="2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</row>
    <row r="177" spans="2:185">
      <c r="B177" s="2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</row>
    <row r="178" spans="2:185">
      <c r="B178" s="2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</row>
    <row r="179" spans="2:185">
      <c r="B179" s="2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</row>
    <row r="180" spans="2:185">
      <c r="B180" s="2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</row>
    <row r="181" spans="2:185">
      <c r="B181" s="2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</row>
    <row r="182" spans="2:185">
      <c r="B182" s="2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</row>
    <row r="183" spans="2:185">
      <c r="B183" s="2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</row>
    <row r="184" spans="2:185">
      <c r="B184" s="2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</row>
    <row r="185" spans="2:185">
      <c r="B185" s="2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</row>
    <row r="186" spans="2:185">
      <c r="B186" s="2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</row>
    <row r="187" spans="2:185">
      <c r="B187" s="2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</row>
    <row r="188" spans="2:185">
      <c r="B188" s="2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</row>
    <row r="189" spans="2:185">
      <c r="B189" s="2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</row>
    <row r="190" spans="2:185">
      <c r="B190" s="2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</row>
    <row r="191" spans="2:185">
      <c r="B191" s="2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</row>
    <row r="192" spans="2:185">
      <c r="B192" s="2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</row>
    <row r="193" spans="2:185">
      <c r="B193" s="2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</row>
    <row r="194" spans="2:185">
      <c r="B194" s="2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</row>
    <row r="195" spans="2:185">
      <c r="B195" s="2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</row>
    <row r="196" spans="2:185">
      <c r="B196" s="2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</row>
    <row r="197" spans="2:185">
      <c r="B197" s="2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</row>
    <row r="198" spans="2:185">
      <c r="B198" s="2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</row>
    <row r="199" spans="2:185">
      <c r="B199" s="2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</row>
    <row r="200" spans="2:185">
      <c r="B200" s="2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</row>
    <row r="201" spans="2:185">
      <c r="B201" s="2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</row>
    <row r="202" spans="2:185">
      <c r="B202" s="2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</row>
    <row r="203" spans="2:185">
      <c r="B203" s="2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</row>
    <row r="204" spans="2:185">
      <c r="B204" s="2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</row>
    <row r="205" spans="2:185">
      <c r="B205" s="2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</row>
    <row r="206" spans="2:185">
      <c r="B206" s="2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</row>
    <row r="207" spans="2:185">
      <c r="B207" s="2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</row>
    <row r="208" spans="2:185">
      <c r="B208" s="2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</row>
    <row r="209" spans="2:185">
      <c r="B209" s="2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</row>
    <row r="210" spans="2:185">
      <c r="B210" s="2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</row>
    <row r="211" spans="2:185">
      <c r="B211" s="2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</row>
    <row r="212" spans="2:185">
      <c r="B212" s="2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</row>
    <row r="213" spans="2:185">
      <c r="B213" s="2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</row>
    <row r="214" spans="2:185">
      <c r="B214" s="2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</row>
    <row r="215" spans="2:185">
      <c r="B215" s="2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</row>
    <row r="216" spans="2:185">
      <c r="B216" s="2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</row>
    <row r="217" spans="2:185">
      <c r="B217" s="2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</row>
    <row r="218" spans="2:185">
      <c r="B218" s="2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</row>
    <row r="219" spans="2:185">
      <c r="B219" s="2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</row>
    <row r="220" spans="2:185">
      <c r="B220" s="2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</row>
    <row r="221" spans="2:185">
      <c r="B221" s="2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</row>
    <row r="222" spans="2:185">
      <c r="B222" s="2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</row>
    <row r="223" spans="2:185">
      <c r="B223" s="2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</row>
    <row r="224" spans="2:185">
      <c r="B224" s="2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</row>
    <row r="225" spans="2:185">
      <c r="B225" s="2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</row>
    <row r="226" spans="2:185">
      <c r="B226" s="2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</row>
    <row r="227" spans="2:185">
      <c r="B227" s="2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</row>
    <row r="228" spans="2:185">
      <c r="B228" s="2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</row>
    <row r="229" spans="2:185">
      <c r="B229" s="2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</row>
    <row r="230" spans="2:185">
      <c r="B230" s="2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</row>
    <row r="231" spans="2:185">
      <c r="B231" s="2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</row>
    <row r="232" spans="2:185">
      <c r="B232" s="2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</row>
    <row r="233" spans="2:185">
      <c r="B233" s="2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</row>
    <row r="234" spans="2:185">
      <c r="B234" s="2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</row>
    <row r="235" spans="2:185">
      <c r="B235" s="2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</row>
    <row r="236" spans="2:185">
      <c r="B236" s="2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</row>
    <row r="237" spans="2:185">
      <c r="B237" s="2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</row>
    <row r="238" spans="2:185">
      <c r="B238" s="2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</row>
    <row r="239" spans="2:185">
      <c r="B239" s="2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</row>
    <row r="240" spans="2:185">
      <c r="B240" s="2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</row>
    <row r="241" spans="2:185">
      <c r="B241" s="2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</row>
    <row r="242" spans="2:185">
      <c r="B242" s="2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</row>
    <row r="243" spans="2:185">
      <c r="B243" s="2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</row>
    <row r="244" spans="2:185">
      <c r="B244" s="2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</row>
    <row r="245" spans="2:185">
      <c r="B245" s="2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</row>
    <row r="246" spans="2:185">
      <c r="B246" s="2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</row>
    <row r="247" spans="2:185">
      <c r="B247" s="2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</row>
    <row r="248" spans="2:185">
      <c r="B248" s="2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</row>
    <row r="249" spans="2:185">
      <c r="B249" s="2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</row>
    <row r="250" spans="2:185">
      <c r="B250" s="2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</row>
    <row r="251" spans="2:185">
      <c r="B251" s="2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</row>
    <row r="252" spans="2:185">
      <c r="B252" s="24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</row>
    <row r="253" spans="2:185">
      <c r="B253" s="2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</row>
    <row r="254" spans="2:185">
      <c r="B254" s="2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</row>
    <row r="255" spans="2:185">
      <c r="B255" s="2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</row>
    <row r="256" spans="2:185">
      <c r="B256" s="2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</row>
    <row r="257" spans="2:185">
      <c r="B257" s="2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</row>
    <row r="258" spans="2:185">
      <c r="B258" s="24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</row>
    <row r="259" spans="2:185">
      <c r="B259" s="2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</row>
    <row r="260" spans="2:185">
      <c r="B260" s="2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</row>
    <row r="261" spans="2:185">
      <c r="B261" s="2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</row>
    <row r="262" spans="2:185">
      <c r="B262" s="2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</row>
    <row r="263" spans="2:185">
      <c r="B263" s="2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</row>
    <row r="264" spans="2:185">
      <c r="B264" s="2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</row>
    <row r="265" spans="2:185">
      <c r="B265" s="2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</row>
    <row r="266" spans="2:185">
      <c r="B266" s="24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</row>
    <row r="267" spans="2:185">
      <c r="B267" s="2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</row>
    <row r="268" spans="2:185">
      <c r="B268" s="2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</row>
    <row r="269" spans="2:185">
      <c r="B269" s="2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</row>
    <row r="270" spans="2:185">
      <c r="B270" s="2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</row>
    <row r="271" spans="2:185">
      <c r="B271" s="2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</row>
    <row r="272" spans="2:185">
      <c r="B272" s="2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</row>
    <row r="273" spans="2:185">
      <c r="B273" s="2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</row>
    <row r="274" spans="2:185">
      <c r="B274" s="2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</row>
    <row r="275" spans="2:185">
      <c r="B275" s="2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</row>
    <row r="276" spans="2:185">
      <c r="B276" s="2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</row>
    <row r="277" spans="2:185">
      <c r="B277" s="2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</row>
    <row r="278" spans="2:185">
      <c r="B278" s="2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</row>
    <row r="279" spans="2:185">
      <c r="B279" s="2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</row>
    <row r="280" spans="2:185">
      <c r="B280" s="2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</row>
    <row r="281" spans="2:185">
      <c r="B281" s="2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</row>
    <row r="282" spans="2:185">
      <c r="B282" s="2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</row>
    <row r="283" spans="2:185">
      <c r="B283" s="2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</row>
    <row r="284" spans="2:185">
      <c r="B284" s="2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</row>
    <row r="285" spans="2:185">
      <c r="B285" s="24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</row>
    <row r="286" spans="2:185">
      <c r="B286" s="2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</row>
    <row r="287" spans="2:185">
      <c r="B287" s="2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</row>
    <row r="288" spans="2:185">
      <c r="B288" s="2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</row>
    <row r="289" spans="2:185">
      <c r="B289" s="2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</row>
    <row r="290" spans="2:185">
      <c r="B290" s="2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</row>
    <row r="291" spans="2:185">
      <c r="B291" s="2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</row>
    <row r="292" spans="2:185">
      <c r="B292" s="2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</row>
    <row r="293" spans="2:185">
      <c r="B293" s="2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</row>
    <row r="294" spans="2:185">
      <c r="B294" s="2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</row>
    <row r="295" spans="2:185">
      <c r="B295" s="24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</row>
    <row r="296" spans="2:185">
      <c r="B296" s="2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</row>
    <row r="297" spans="2:185">
      <c r="B297" s="2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</row>
    <row r="298" spans="2:185">
      <c r="B298" s="2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</row>
    <row r="299" spans="2:185">
      <c r="B299" s="2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</row>
    <row r="300" spans="2:185">
      <c r="B300" s="2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</row>
    <row r="301" spans="2:185">
      <c r="B301" s="2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</row>
    <row r="302" spans="2:185">
      <c r="B302" s="2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</row>
    <row r="303" spans="2:185">
      <c r="B303" s="2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</row>
    <row r="304" spans="2:185">
      <c r="B304" s="24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</row>
    <row r="305" spans="2:185">
      <c r="B305" s="2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</row>
    <row r="306" spans="2:185">
      <c r="B306" s="2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</row>
    <row r="307" spans="2:185">
      <c r="B307" s="2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</row>
    <row r="308" spans="2:185">
      <c r="B308" s="2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</row>
    <row r="309" spans="2:185">
      <c r="B309" s="2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</row>
    <row r="310" spans="2:185">
      <c r="B310" s="2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</row>
    <row r="311" spans="2:185">
      <c r="B311" s="24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</row>
    <row r="312" spans="2:185">
      <c r="B312" s="2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</row>
    <row r="313" spans="2:185">
      <c r="B313" s="2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</row>
    <row r="314" spans="2:185">
      <c r="B314" s="2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</row>
    <row r="315" spans="2:185">
      <c r="B315" s="2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</row>
    <row r="316" spans="2:185">
      <c r="B316" s="2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</row>
    <row r="317" spans="2:185">
      <c r="B317" s="2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</row>
    <row r="318" spans="2:185">
      <c r="B318" s="2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</row>
    <row r="319" spans="2:185">
      <c r="B319" s="2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</row>
    <row r="320" spans="2:185">
      <c r="B320" s="2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</row>
    <row r="321" spans="2:185">
      <c r="B321" s="24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</row>
    <row r="322" spans="2:185">
      <c r="B322" s="24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</row>
    <row r="323" spans="2:185">
      <c r="B323" s="24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</row>
    <row r="324" spans="2:185">
      <c r="B324" s="24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</row>
    <row r="325" spans="2:185">
      <c r="B325" s="24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</row>
    <row r="326" spans="2:185">
      <c r="B326" s="24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</row>
    <row r="327" spans="2:185">
      <c r="B327" s="2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</row>
    <row r="328" spans="2:185">
      <c r="B328" s="2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</row>
    <row r="329" spans="2:185">
      <c r="B329" s="2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</row>
    <row r="330" spans="2:185">
      <c r="B330" s="2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</row>
    <row r="331" spans="2:185">
      <c r="B331" s="2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</row>
    <row r="332" spans="2:185">
      <c r="B332" s="2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</row>
    <row r="333" spans="2:185">
      <c r="B333" s="2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</row>
    <row r="334" spans="2:185">
      <c r="B334" s="2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</row>
    <row r="335" spans="2:185">
      <c r="B335" s="2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</row>
    <row r="336" spans="2:185">
      <c r="B336" s="2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</row>
    <row r="337" spans="2:185">
      <c r="B337" s="2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</row>
    <row r="338" spans="2:185">
      <c r="B338" s="2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</row>
    <row r="339" spans="2:185">
      <c r="B339" s="2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</row>
    <row r="340" spans="2:185">
      <c r="B340" s="2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</row>
    <row r="341" spans="2:185">
      <c r="B341" s="2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</row>
    <row r="342" spans="2:185">
      <c r="B342" s="2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</row>
    <row r="343" spans="2:185">
      <c r="B343" s="2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</row>
    <row r="344" spans="2:185">
      <c r="B344" s="2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</row>
    <row r="345" spans="2:185">
      <c r="B345" s="2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</row>
    <row r="346" spans="2:185">
      <c r="B346" s="2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</row>
    <row r="347" spans="2:185">
      <c r="B347" s="2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</row>
    <row r="348" spans="2:185">
      <c r="B348" s="2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</row>
    <row r="349" spans="2:185">
      <c r="B349" s="2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</row>
    <row r="350" spans="2:185">
      <c r="B350" s="24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</row>
    <row r="351" spans="2:185">
      <c r="B351" s="2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</row>
    <row r="352" spans="2:185">
      <c r="B352" s="2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</row>
    <row r="353" spans="2:185">
      <c r="B353" s="2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</row>
    <row r="354" spans="2:185">
      <c r="B354" s="2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</row>
    <row r="355" spans="2:185">
      <c r="B355" s="24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</row>
    <row r="356" spans="2:185">
      <c r="B356" s="2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</row>
    <row r="357" spans="2:185">
      <c r="B357" s="2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</row>
    <row r="358" spans="2:185">
      <c r="B358" s="2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</row>
    <row r="359" spans="2:185">
      <c r="B359" s="24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</row>
    <row r="360" spans="2:185">
      <c r="B360" s="2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</row>
    <row r="361" spans="2:185">
      <c r="B361" s="2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</row>
    <row r="362" spans="2:185">
      <c r="B362" s="2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</row>
    <row r="363" spans="2:185">
      <c r="B363" s="2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</row>
    <row r="364" spans="2:185">
      <c r="B364" s="2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</row>
    <row r="365" spans="2:185">
      <c r="B365" s="2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</row>
    <row r="366" spans="2:185">
      <c r="B366" s="2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</row>
    <row r="367" spans="2:185">
      <c r="B367" s="2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</row>
    <row r="368" spans="2:185">
      <c r="B368" s="2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</row>
    <row r="369" spans="2:185">
      <c r="B369" s="2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</row>
    <row r="370" spans="2:185">
      <c r="B370" s="2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</row>
    <row r="371" spans="2:185">
      <c r="B371" s="2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</row>
    <row r="372" spans="2:185">
      <c r="B372" s="24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</row>
    <row r="373" spans="2:185">
      <c r="B373" s="2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</row>
    <row r="374" spans="2:185">
      <c r="B374" s="2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</row>
    <row r="375" spans="2:185">
      <c r="B375" s="2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</row>
    <row r="376" spans="2:185">
      <c r="B376" s="2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</row>
    <row r="377" spans="2:185">
      <c r="B377" s="2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</row>
    <row r="378" spans="2:185">
      <c r="B378" s="2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</row>
    <row r="379" spans="2:185">
      <c r="B379" s="2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</row>
    <row r="380" spans="2:185">
      <c r="B380" s="2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</row>
    <row r="381" spans="2:185">
      <c r="B381" s="24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</row>
    <row r="382" spans="2:185">
      <c r="B382" s="2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</row>
    <row r="383" spans="2:185">
      <c r="B383" s="2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</row>
    <row r="384" spans="2:185">
      <c r="B384" s="2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</row>
    <row r="385" spans="2:185">
      <c r="B385" s="2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</row>
    <row r="386" spans="2:185">
      <c r="B386" s="2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</row>
    <row r="387" spans="2:185">
      <c r="B387" s="2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</row>
    <row r="388" spans="2:185">
      <c r="B388" s="2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</row>
    <row r="389" spans="2:185">
      <c r="B389" s="2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</row>
    <row r="390" spans="2:185">
      <c r="B390" s="2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</row>
    <row r="391" spans="2:185">
      <c r="B391" s="2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</row>
    <row r="392" spans="2:185">
      <c r="B392" s="2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</row>
    <row r="393" spans="2:185">
      <c r="B393" s="2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</row>
    <row r="394" spans="2:185">
      <c r="B394" s="24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</row>
    <row r="395" spans="2:185">
      <c r="B395" s="2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</row>
    <row r="396" spans="2:185">
      <c r="B396" s="2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</row>
    <row r="397" spans="2:185">
      <c r="B397" s="2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</row>
    <row r="398" spans="2:185">
      <c r="B398" s="2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</row>
    <row r="399" spans="2:185">
      <c r="B399" s="24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</row>
    <row r="400" spans="2:185">
      <c r="B400" s="2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</row>
    <row r="401" spans="2:185">
      <c r="B401" s="24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</row>
    <row r="402" spans="2:185">
      <c r="B402" s="24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</row>
    <row r="403" spans="2:185">
      <c r="B403" s="24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</row>
    <row r="404" spans="2:185">
      <c r="B404" s="24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</row>
    <row r="405" spans="2:185">
      <c r="B405" s="24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</row>
    <row r="406" spans="2:185">
      <c r="B406" s="24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</row>
    <row r="407" spans="2:185">
      <c r="B407" s="24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</row>
    <row r="408" spans="2:185">
      <c r="B408" s="24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</row>
    <row r="409" spans="2:185">
      <c r="B409" s="24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</row>
    <row r="410" spans="2:185">
      <c r="B410" s="24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</row>
    <row r="411" spans="2:185">
      <c r="B411" s="24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</row>
    <row r="412" spans="2:185">
      <c r="B412" s="24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</row>
    <row r="413" spans="2:185">
      <c r="B413" s="24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</row>
    <row r="414" spans="2:185">
      <c r="B414" s="24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</row>
    <row r="415" spans="2:185">
      <c r="B415" s="24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</row>
    <row r="416" spans="2:185">
      <c r="B416" s="24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</row>
    <row r="417" spans="2:185">
      <c r="B417" s="24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</row>
    <row r="418" spans="2:185">
      <c r="B418" s="24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</row>
    <row r="419" spans="2:185">
      <c r="B419" s="24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</row>
    <row r="420" spans="2:185">
      <c r="B420" s="24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</row>
    <row r="421" spans="2:185">
      <c r="B421" s="24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</row>
    <row r="422" spans="2:185">
      <c r="B422" s="24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</row>
    <row r="423" spans="2:185">
      <c r="B423" s="24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</row>
    <row r="424" spans="2:185">
      <c r="B424" s="24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</row>
    <row r="425" spans="2:185">
      <c r="B425" s="24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Talita</cp:lastModifiedBy>
  <dcterms:created xsi:type="dcterms:W3CDTF">2024-12-19T13:13:10Z</dcterms:created>
  <dcterms:modified xsi:type="dcterms:W3CDTF">2026-01-16T02:12:32Z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